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izm Direksiyasi\Desktop\нарх\"/>
    </mc:Choice>
  </mc:AlternateContent>
  <xr:revisionPtr revIDLastSave="0" documentId="13_ncr:1_{55E0A212-9571-4A57-84F4-416F9CAACC98}" xr6:coauthVersionLast="47" xr6:coauthVersionMax="47" xr10:uidLastSave="{00000000-0000-0000-0000-000000000000}"/>
  <bookViews>
    <workbookView xWindow="-120" yWindow="-120" windowWidth="29040" windowHeight="15720" activeTab="4" xr2:uid="{DCB39C20-259A-42E7-909C-3E02872D184D}"/>
  </bookViews>
  <sheets>
    <sheet name="хисоблаш" sheetId="1" r:id="rId1"/>
    <sheet name="Т" sheetId="2" r:id="rId2"/>
    <sheet name="B" sheetId="4" r:id="rId3"/>
    <sheet name="М" sheetId="3" r:id="rId4"/>
    <sheet name="шаблон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D4" i="1"/>
  <c r="G4" i="1"/>
  <c r="C4" i="1"/>
  <c r="B6" i="1" l="1"/>
</calcChain>
</file>

<file path=xl/sharedStrings.xml><?xml version="1.0" encoding="utf-8"?>
<sst xmlns="http://schemas.openxmlformats.org/spreadsheetml/2006/main" count="86" uniqueCount="50">
  <si>
    <t>Бошланғич нарх:</t>
  </si>
  <si>
    <t>Бунда:</t>
  </si>
  <si>
    <r>
      <rPr>
        <b/>
        <sz val="12"/>
        <color theme="1"/>
        <rFont val="Times New Roman"/>
        <family val="1"/>
        <charset val="204"/>
      </rPr>
      <t xml:space="preserve">S </t>
    </r>
    <r>
      <rPr>
        <sz val="12"/>
        <color theme="1"/>
        <rFont val="Times New Roman"/>
        <family val="1"/>
        <charset val="204"/>
      </rPr>
      <t>— ер участкасининг майдони, кв м;</t>
    </r>
  </si>
  <si>
    <r>
      <rPr>
        <b/>
        <sz val="12"/>
        <color theme="1"/>
        <rFont val="Times New Roman"/>
        <family val="1"/>
        <charset val="204"/>
      </rPr>
      <t>G</t>
    </r>
    <r>
      <rPr>
        <sz val="12"/>
        <color theme="1"/>
        <rFont val="Times New Roman"/>
        <family val="1"/>
        <charset val="204"/>
      </rPr>
      <t xml:space="preserve"> — мавжуд ҳамда келгусида марказлашган манбалар ҳисобидан барпо этилиши режалаштирилган муҳандислик-коммуникация тармоқларига уланиш нуқталарини барпо этиш қийматига мувофиқлаштирувчи 0,5 дан 3 гача бўлган камайтирувчи ва оширувчи коэффициент;</t>
    </r>
  </si>
  <si>
    <r>
      <rPr>
        <b/>
        <sz val="12"/>
        <color theme="1"/>
        <rFont val="Times New Roman"/>
        <family val="1"/>
        <charset val="204"/>
      </rPr>
      <t>F</t>
    </r>
    <r>
      <rPr>
        <sz val="12"/>
        <color theme="1"/>
        <rFont val="Times New Roman"/>
        <family val="1"/>
        <charset val="204"/>
      </rPr>
      <t xml:space="preserve"> — ер участкасидан рухсат этилган фойдаланишнинг асосий туридан келиб чиққан ҳолда, оширувчи ва камайтирувчи коэффициент;</t>
    </r>
  </si>
  <si>
    <r>
      <rPr>
        <b/>
        <sz val="12"/>
        <color theme="1"/>
        <rFont val="Times New Roman"/>
        <family val="1"/>
        <charset val="204"/>
      </rPr>
      <t>M</t>
    </r>
    <r>
      <rPr>
        <sz val="12"/>
        <color theme="1"/>
        <rFont val="Times New Roman"/>
        <family val="1"/>
        <charset val="204"/>
      </rPr>
      <t xml:space="preserve"> — ер участкасининг майдони бўйича камайтирувчи коэффициент; </t>
    </r>
  </si>
  <si>
    <r>
      <rPr>
        <b/>
        <sz val="12"/>
        <color theme="1"/>
        <rFont val="Times New Roman"/>
        <family val="1"/>
        <charset val="204"/>
      </rPr>
      <t>E</t>
    </r>
    <r>
      <rPr>
        <sz val="12"/>
        <color theme="1"/>
        <rFont val="Times New Roman"/>
        <family val="1"/>
        <charset val="204"/>
      </rPr>
      <t xml:space="preserve"> — ер участкасини танлаш материалларини тайёрлаш ишлари ва ер участкасига бўлган ҳуқуқларни давлат рўйхатидан ўтказишга оид харажатлар, сўм.</t>
    </r>
  </si>
  <si>
    <r>
      <t>T</t>
    </r>
    <r>
      <rPr>
        <sz val="12"/>
        <color rgb="FF000000"/>
        <rFont val="Times New Roman"/>
        <family val="1"/>
        <charset val="204"/>
      </rPr>
      <t xml:space="preserve"> — ҳудуднинг тоифа коэффициенти; (1-тоифага — 25, 2-тоифага — 20, 3-тоифага — 15, 4-тоифага — 10, 5-тоифага — 5)</t>
    </r>
  </si>
  <si>
    <t>Ижарага таклиф этилаётган ер майдони (м.кв)
-S-</t>
  </si>
  <si>
    <t>Ҳудуднинг тоифа коэффициенти
-T-</t>
  </si>
  <si>
    <t>Таслиқланган ер солиғи ставкаси (сўм/м.кв)
-B-</t>
  </si>
  <si>
    <t>Муҳандислик-коммуникация тармоқлари
-G-</t>
  </si>
  <si>
    <t>Рухсат этилган фойдаланишнинг асосий тури
-F-</t>
  </si>
  <si>
    <t>Майдони бўйича камайтирувчи коэффициент
-M-</t>
  </si>
  <si>
    <t>Ҳудуд номи</t>
  </si>
  <si>
    <t>Тоифаси</t>
  </si>
  <si>
    <t>Коэффициенти</t>
  </si>
  <si>
    <t>Наманган шаҳри</t>
  </si>
  <si>
    <t>Янги Наманган тумани</t>
  </si>
  <si>
    <t>Давлатобод тумани</t>
  </si>
  <si>
    <t>Тўрақўрғон тумани</t>
  </si>
  <si>
    <t>Уйчи тумани</t>
  </si>
  <si>
    <t>Учқўрғон тумани</t>
  </si>
  <si>
    <t>Косонсой тумани</t>
  </si>
  <si>
    <t>Наманган тумани</t>
  </si>
  <si>
    <t>Поп тумани</t>
  </si>
  <si>
    <t>Чортоқ тумани</t>
  </si>
  <si>
    <t>Чуст тумани</t>
  </si>
  <si>
    <t>Янгиқўрғон тумани</t>
  </si>
  <si>
    <t>Норин тумани</t>
  </si>
  <si>
    <t>Мингбулоқ тумани</t>
  </si>
  <si>
    <t>Умумий майдони 10 000 квадрат метрдан 50 000 квадрат метргача бўлган ер участкаси (1 га - 5 га)</t>
  </si>
  <si>
    <t>Умумий майдони 1 000 квадрат метрдан 10 000 квадрат метргача бўлган ер участкаси (0,1 га - 1 га)</t>
  </si>
  <si>
    <t>Умумий майдони 1 000 квадрат метргача бўлган ер участкаси (0,1 гектаргача)</t>
  </si>
  <si>
    <t>Умумий майдони 50 000 квадрат метрдан ортиқ бўлган ер участкаси (5 гектардан ортик)</t>
  </si>
  <si>
    <t>Ўзбекистон Республикаси Вазирлар Маҳкамасининг 14.02.2022 йилдаги «Қишлоқ хўжалигига мўлжалланмаган ер участкаларини хусусийлаштириш тўғрисида»ги Ўзбекистон Республикаси Қонунини амалга ошириш чора-тадбирлари ҳақида”ги 71-сон қарорига 2-илова.
Тадбиркорлик ва шаҳарсозлик фаолиятини амалга ошириш учун ер участкаларини мулк ҳуқуқи ва ижара ҳуқуқи асосида электрон онлайн-аукцион орқали реализация қилиш тартиби тўғрисида НИЗОМнинг 2-боб, 22-бандига асосан</t>
  </si>
  <si>
    <t>Ер участкасига ижара ҳуқуқини қўлга киритиш учун ўтказиладиган электрон онлайн-аукцион савдоларидаги бошланғич нарх қуйидаги формула асосида ҳисобланади</t>
  </si>
  <si>
    <t>XalqdeputatlariNamanganviloyati
Kengashining
2025-yil29-dekabrdagi
VII-17-165-6-0-K/25-sonqaroriga
6-ilova</t>
  </si>
  <si>
    <t>№</t>
  </si>
  <si>
    <t>Худуд номи</t>
  </si>
  <si>
    <t>2026-yiluchun
bazaviy
miqdor</t>
  </si>
  <si>
    <t xml:space="preserve"> 51,800,000.0</t>
  </si>
  <si>
    <t>Koeffi
sient(0,5
dan2
gacha)</t>
  </si>
  <si>
    <t>Yersolig‘i
stavkasi
2026-yiluchun
(so‘mda)</t>
  </si>
  <si>
    <t xml:space="preserve"> 1.65</t>
  </si>
  <si>
    <t xml:space="preserve"> 1.10</t>
  </si>
  <si>
    <t xml:space="preserve"> 1.20</t>
  </si>
  <si>
    <t>Ер участкасига
оид харажатлар
(сўм)
-E-</t>
  </si>
  <si>
    <t>сўм</t>
  </si>
  <si>
    <r>
      <rPr>
        <b/>
        <sz val="12"/>
        <color theme="1"/>
        <rFont val="Times New Roman"/>
        <family val="1"/>
        <charset val="204"/>
      </rPr>
      <t>B</t>
    </r>
    <r>
      <rPr>
        <sz val="12"/>
        <color theme="1"/>
        <rFont val="Times New Roman"/>
        <family val="1"/>
        <charset val="204"/>
      </rPr>
      <t xml:space="preserve"> — 1 кв метр ер учун юридик шахслардан олинадиган ер солиғи ставкаси, сўм; (29.12.2025 йил VII-17-165-6-0-K/25 сон қарорига 6-илова)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</si>
</sst>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justify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/>
    <xf numFmtId="164" fontId="6" fillId="5" borderId="0" xfId="0" applyNumberFormat="1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left" vertical="center"/>
    </xf>
    <xf numFmtId="43" fontId="5" fillId="5" borderId="0" xfId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0D00-B075-44BE-A9AE-A5A03024BA6A}">
  <sheetPr>
    <pageSetUpPr fitToPage="1"/>
  </sheetPr>
  <dimension ref="A1:H15"/>
  <sheetViews>
    <sheetView view="pageBreakPreview" zoomScale="130" zoomScaleNormal="145" zoomScaleSheetLayoutView="130" workbookViewId="0">
      <selection activeCell="C7" sqref="C7"/>
    </sheetView>
  </sheetViews>
  <sheetFormatPr defaultRowHeight="15.75" x14ac:dyDescent="0.25"/>
  <cols>
    <col min="1" max="1" width="26.140625" style="3" customWidth="1"/>
    <col min="2" max="2" width="19.85546875" style="3" customWidth="1"/>
    <col min="3" max="3" width="17.28515625" style="3" customWidth="1"/>
    <col min="4" max="4" width="23.85546875" style="3" customWidth="1"/>
    <col min="5" max="5" width="16.42578125" style="3" customWidth="1"/>
    <col min="6" max="6" width="20" style="3" customWidth="1"/>
    <col min="7" max="7" width="19" style="3" customWidth="1"/>
    <col min="8" max="8" width="31.42578125" style="3" customWidth="1"/>
    <col min="9" max="16384" width="9.140625" style="3"/>
  </cols>
  <sheetData>
    <row r="1" spans="1:8" ht="81.75" customHeight="1" x14ac:dyDescent="0.25">
      <c r="A1" s="31" t="s">
        <v>35</v>
      </c>
      <c r="B1" s="32"/>
      <c r="C1" s="32"/>
      <c r="D1" s="32"/>
      <c r="E1" s="32"/>
      <c r="F1" s="32"/>
      <c r="G1" s="32"/>
      <c r="H1" s="32"/>
    </row>
    <row r="2" spans="1:8" ht="57" customHeight="1" x14ac:dyDescent="0.25">
      <c r="A2" s="33" t="s">
        <v>36</v>
      </c>
      <c r="B2" s="33"/>
      <c r="C2" s="33"/>
      <c r="D2" s="33"/>
      <c r="E2" s="33"/>
      <c r="F2" s="33"/>
      <c r="G2" s="33"/>
      <c r="H2" s="33"/>
    </row>
    <row r="3" spans="1:8" ht="102.75" customHeight="1" x14ac:dyDescent="0.25">
      <c r="A3" s="17" t="s">
        <v>14</v>
      </c>
      <c r="B3" s="12" t="s">
        <v>8</v>
      </c>
      <c r="C3" s="8" t="s">
        <v>9</v>
      </c>
      <c r="D3" s="8" t="s">
        <v>10</v>
      </c>
      <c r="E3" s="14" t="s">
        <v>11</v>
      </c>
      <c r="F3" s="10" t="s">
        <v>12</v>
      </c>
      <c r="G3" s="10" t="s">
        <v>13</v>
      </c>
      <c r="H3" s="14" t="s">
        <v>47</v>
      </c>
    </row>
    <row r="4" spans="1:8" ht="45.75" customHeight="1" x14ac:dyDescent="0.25">
      <c r="A4" s="15" t="s">
        <v>25</v>
      </c>
      <c r="B4" s="13">
        <v>7700</v>
      </c>
      <c r="C4" s="9">
        <f>VLOOKUP(A4,Т!$A$2:$C$15,3,0)</f>
        <v>15</v>
      </c>
      <c r="D4" s="9">
        <f>VLOOKUP(A4,B!$B$3:$E$16,4,0)/10000</f>
        <v>5698</v>
      </c>
      <c r="E4" s="15">
        <v>1</v>
      </c>
      <c r="F4" s="11">
        <v>1.1000000000000001</v>
      </c>
      <c r="G4" s="11">
        <f>IF(B4&lt;1000, 1, IF(B4&lt;10000, 0.9, IF(B4&lt;=50000, 0.8, 0.7)))</f>
        <v>0.9</v>
      </c>
      <c r="H4" s="15">
        <v>0</v>
      </c>
    </row>
    <row r="6" spans="1:8" ht="29.25" customHeight="1" x14ac:dyDescent="0.25">
      <c r="A6" s="24" t="s">
        <v>0</v>
      </c>
      <c r="B6" s="29">
        <f>B4*C4*D4*E4*F4*G4+H4</f>
        <v>651537810</v>
      </c>
      <c r="C6" s="29"/>
      <c r="D6" s="16" t="s">
        <v>48</v>
      </c>
      <c r="E6" s="28" t="str">
        <f>"бошланғич нарх "&amp;B4/10000&amp;" гектар учун ҳисобланган."</f>
        <v>бошланғич нарх 0,77 гектар учун ҳисобланган.</v>
      </c>
      <c r="F6" s="27"/>
      <c r="G6" s="23"/>
      <c r="H6" s="23"/>
    </row>
    <row r="8" spans="1:8" ht="22.5" customHeight="1" x14ac:dyDescent="0.25">
      <c r="A8" s="6" t="s">
        <v>1</v>
      </c>
      <c r="B8" s="6"/>
    </row>
    <row r="9" spans="1:8" ht="22.5" customHeight="1" x14ac:dyDescent="0.25">
      <c r="A9" s="5" t="s">
        <v>2</v>
      </c>
      <c r="B9" s="5"/>
    </row>
    <row r="10" spans="1:8" ht="22.5" customHeight="1" x14ac:dyDescent="0.25">
      <c r="A10" s="7" t="s">
        <v>7</v>
      </c>
      <c r="B10" s="7"/>
    </row>
    <row r="11" spans="1:8" ht="22.5" customHeight="1" x14ac:dyDescent="0.25">
      <c r="A11" s="5" t="s">
        <v>49</v>
      </c>
      <c r="B11" s="5"/>
    </row>
    <row r="12" spans="1:8" ht="31.5" customHeight="1" x14ac:dyDescent="0.25">
      <c r="A12" s="30" t="s">
        <v>3</v>
      </c>
      <c r="B12" s="30"/>
      <c r="C12" s="30"/>
      <c r="D12" s="30"/>
      <c r="E12" s="30"/>
      <c r="F12" s="30"/>
      <c r="G12" s="30"/>
      <c r="H12" s="30"/>
    </row>
    <row r="13" spans="1:8" ht="22.5" customHeight="1" x14ac:dyDescent="0.25">
      <c r="A13" s="5" t="s">
        <v>4</v>
      </c>
      <c r="B13" s="5"/>
    </row>
    <row r="14" spans="1:8" ht="22.5" customHeight="1" x14ac:dyDescent="0.25">
      <c r="A14" s="5" t="s">
        <v>5</v>
      </c>
      <c r="B14" s="5"/>
    </row>
    <row r="15" spans="1:8" ht="22.5" customHeight="1" x14ac:dyDescent="0.25">
      <c r="A15" s="5" t="s">
        <v>6</v>
      </c>
      <c r="B15" s="5"/>
    </row>
  </sheetData>
  <mergeCells count="4">
    <mergeCell ref="B6:C6"/>
    <mergeCell ref="A12:H12"/>
    <mergeCell ref="A1:H1"/>
    <mergeCell ref="A2:H2"/>
  </mergeCells>
  <pageMargins left="0.7" right="0.7" top="0.75" bottom="0.75" header="0.3" footer="0.3"/>
  <pageSetup paperSize="9" scale="75" fitToHeight="0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59133B-1E99-4A36-8651-D8AE57D95669}">
          <x14:formula1>
            <xm:f>Т!$A$2:$A$15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5215-3C42-4931-B300-D34C7FA8E68A}">
  <dimension ref="A1:C15"/>
  <sheetViews>
    <sheetView zoomScale="145" zoomScaleNormal="145" workbookViewId="0">
      <selection activeCell="B20" sqref="B20"/>
    </sheetView>
  </sheetViews>
  <sheetFormatPr defaultRowHeight="15.75" x14ac:dyDescent="0.25"/>
  <cols>
    <col min="1" max="1" width="24.28515625" style="3" customWidth="1"/>
    <col min="2" max="2" width="11.5703125" style="3" customWidth="1"/>
    <col min="3" max="3" width="22.140625" style="3" customWidth="1"/>
    <col min="4" max="16384" width="9.140625" style="1"/>
  </cols>
  <sheetData>
    <row r="1" spans="1:3" s="2" customFormat="1" ht="35.25" customHeight="1" x14ac:dyDescent="0.25">
      <c r="A1" s="21" t="s">
        <v>14</v>
      </c>
      <c r="B1" s="21" t="s">
        <v>15</v>
      </c>
      <c r="C1" s="21" t="s">
        <v>16</v>
      </c>
    </row>
    <row r="2" spans="1:3" x14ac:dyDescent="0.25">
      <c r="A2" s="22" t="s">
        <v>17</v>
      </c>
      <c r="B2" s="4">
        <v>1</v>
      </c>
      <c r="C2" s="4">
        <v>25</v>
      </c>
    </row>
    <row r="3" spans="1:3" x14ac:dyDescent="0.25">
      <c r="A3" s="22" t="s">
        <v>18</v>
      </c>
      <c r="B3" s="4">
        <v>1</v>
      </c>
      <c r="C3" s="4">
        <v>25</v>
      </c>
    </row>
    <row r="4" spans="1:3" x14ac:dyDescent="0.25">
      <c r="A4" s="22" t="s">
        <v>19</v>
      </c>
      <c r="B4" s="4">
        <v>1</v>
      </c>
      <c r="C4" s="4">
        <v>25</v>
      </c>
    </row>
    <row r="5" spans="1:3" x14ac:dyDescent="0.25">
      <c r="A5" s="22" t="s">
        <v>20</v>
      </c>
      <c r="B5" s="4">
        <v>2</v>
      </c>
      <c r="C5" s="4">
        <v>20</v>
      </c>
    </row>
    <row r="6" spans="1:3" x14ac:dyDescent="0.25">
      <c r="A6" s="22" t="s">
        <v>21</v>
      </c>
      <c r="B6" s="4">
        <v>2</v>
      </c>
      <c r="C6" s="4">
        <v>20</v>
      </c>
    </row>
    <row r="7" spans="1:3" x14ac:dyDescent="0.25">
      <c r="A7" s="22" t="s">
        <v>22</v>
      </c>
      <c r="B7" s="4">
        <v>2</v>
      </c>
      <c r="C7" s="4">
        <v>20</v>
      </c>
    </row>
    <row r="8" spans="1:3" x14ac:dyDescent="0.25">
      <c r="A8" s="22" t="s">
        <v>23</v>
      </c>
      <c r="B8" s="4">
        <v>3</v>
      </c>
      <c r="C8" s="4">
        <v>15</v>
      </c>
    </row>
    <row r="9" spans="1:3" x14ac:dyDescent="0.25">
      <c r="A9" s="22" t="s">
        <v>24</v>
      </c>
      <c r="B9" s="4">
        <v>3</v>
      </c>
      <c r="C9" s="4">
        <v>15</v>
      </c>
    </row>
    <row r="10" spans="1:3" x14ac:dyDescent="0.25">
      <c r="A10" s="22" t="s">
        <v>25</v>
      </c>
      <c r="B10" s="4">
        <v>3</v>
      </c>
      <c r="C10" s="4">
        <v>15</v>
      </c>
    </row>
    <row r="11" spans="1:3" x14ac:dyDescent="0.25">
      <c r="A11" s="22" t="s">
        <v>26</v>
      </c>
      <c r="B11" s="4">
        <v>3</v>
      </c>
      <c r="C11" s="4">
        <v>15</v>
      </c>
    </row>
    <row r="12" spans="1:3" x14ac:dyDescent="0.25">
      <c r="A12" s="22" t="s">
        <v>27</v>
      </c>
      <c r="B12" s="4">
        <v>3</v>
      </c>
      <c r="C12" s="4">
        <v>15</v>
      </c>
    </row>
    <row r="13" spans="1:3" x14ac:dyDescent="0.25">
      <c r="A13" s="22" t="s">
        <v>28</v>
      </c>
      <c r="B13" s="4">
        <v>3</v>
      </c>
      <c r="C13" s="4">
        <v>15</v>
      </c>
    </row>
    <row r="14" spans="1:3" x14ac:dyDescent="0.25">
      <c r="A14" s="22" t="s">
        <v>29</v>
      </c>
      <c r="B14" s="4">
        <v>4</v>
      </c>
      <c r="C14" s="4">
        <v>10</v>
      </c>
    </row>
    <row r="15" spans="1:3" x14ac:dyDescent="0.25">
      <c r="A15" s="22" t="s">
        <v>30</v>
      </c>
      <c r="B15" s="4">
        <v>5</v>
      </c>
      <c r="C15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DD42-AC74-482F-9D84-1937AE8907D8}">
  <dimension ref="A1:E16"/>
  <sheetViews>
    <sheetView workbookViewId="0"/>
  </sheetViews>
  <sheetFormatPr defaultRowHeight="15" x14ac:dyDescent="0.25"/>
  <cols>
    <col min="2" max="2" width="19.7109375" bestFit="1" customWidth="1"/>
    <col min="3" max="3" width="17.5703125" customWidth="1"/>
    <col min="4" max="4" width="12.28515625" customWidth="1"/>
    <col min="5" max="5" width="17.42578125" customWidth="1"/>
  </cols>
  <sheetData>
    <row r="1" spans="1:5" x14ac:dyDescent="0.25">
      <c r="A1" s="26" t="s">
        <v>37</v>
      </c>
    </row>
    <row r="2" spans="1:5" ht="60" x14ac:dyDescent="0.25">
      <c r="A2" s="26" t="s">
        <v>38</v>
      </c>
      <c r="B2" t="s">
        <v>39</v>
      </c>
      <c r="C2" s="25" t="s">
        <v>40</v>
      </c>
      <c r="D2" s="25" t="s">
        <v>42</v>
      </c>
      <c r="E2" s="25" t="s">
        <v>43</v>
      </c>
    </row>
    <row r="3" spans="1:5" ht="15.75" x14ac:dyDescent="0.25">
      <c r="A3">
        <v>1</v>
      </c>
      <c r="B3" s="22" t="s">
        <v>17</v>
      </c>
      <c r="C3" t="s">
        <v>41</v>
      </c>
      <c r="D3" t="s">
        <v>44</v>
      </c>
      <c r="E3">
        <v>85470000</v>
      </c>
    </row>
    <row r="4" spans="1:5" ht="15.75" x14ac:dyDescent="0.25">
      <c r="A4">
        <v>2</v>
      </c>
      <c r="B4" s="22" t="s">
        <v>30</v>
      </c>
      <c r="C4" t="s">
        <v>41</v>
      </c>
      <c r="D4" t="s">
        <v>45</v>
      </c>
      <c r="E4">
        <v>56980000</v>
      </c>
    </row>
    <row r="5" spans="1:5" ht="15.75" x14ac:dyDescent="0.25">
      <c r="A5">
        <v>3</v>
      </c>
      <c r="B5" s="22" t="s">
        <v>23</v>
      </c>
      <c r="C5" t="s">
        <v>41</v>
      </c>
      <c r="D5" t="s">
        <v>45</v>
      </c>
      <c r="E5">
        <v>56980000</v>
      </c>
    </row>
    <row r="6" spans="1:5" ht="15.75" x14ac:dyDescent="0.25">
      <c r="A6">
        <v>4</v>
      </c>
      <c r="B6" s="22" t="s">
        <v>24</v>
      </c>
      <c r="C6" t="s">
        <v>41</v>
      </c>
      <c r="D6" t="s">
        <v>46</v>
      </c>
      <c r="E6">
        <v>62160000</v>
      </c>
    </row>
    <row r="7" spans="1:5" ht="15.75" x14ac:dyDescent="0.25">
      <c r="A7">
        <v>5</v>
      </c>
      <c r="B7" s="22" t="s">
        <v>25</v>
      </c>
      <c r="C7" t="s">
        <v>41</v>
      </c>
      <c r="D7" t="s">
        <v>45</v>
      </c>
      <c r="E7">
        <v>56980000</v>
      </c>
    </row>
    <row r="8" spans="1:5" ht="15.75" x14ac:dyDescent="0.25">
      <c r="A8">
        <v>6</v>
      </c>
      <c r="B8" s="22" t="s">
        <v>20</v>
      </c>
      <c r="C8" t="s">
        <v>41</v>
      </c>
      <c r="D8" t="s">
        <v>46</v>
      </c>
      <c r="E8">
        <v>62160000</v>
      </c>
    </row>
    <row r="9" spans="1:5" ht="15.75" x14ac:dyDescent="0.25">
      <c r="A9">
        <v>7</v>
      </c>
      <c r="B9" s="22" t="s">
        <v>21</v>
      </c>
      <c r="C9" t="s">
        <v>41</v>
      </c>
      <c r="D9" t="s">
        <v>46</v>
      </c>
      <c r="E9">
        <v>62160000</v>
      </c>
    </row>
    <row r="10" spans="1:5" ht="15.75" x14ac:dyDescent="0.25">
      <c r="A10">
        <v>8</v>
      </c>
      <c r="B10" s="22" t="s">
        <v>26</v>
      </c>
      <c r="C10" t="s">
        <v>41</v>
      </c>
      <c r="D10" t="s">
        <v>45</v>
      </c>
      <c r="E10">
        <v>56980000</v>
      </c>
    </row>
    <row r="11" spans="1:5" ht="15.75" x14ac:dyDescent="0.25">
      <c r="A11">
        <v>9</v>
      </c>
      <c r="B11" s="22" t="s">
        <v>28</v>
      </c>
      <c r="C11" t="s">
        <v>41</v>
      </c>
      <c r="D11" t="s">
        <v>45</v>
      </c>
      <c r="E11">
        <v>56980000</v>
      </c>
    </row>
    <row r="12" spans="1:5" ht="15.75" x14ac:dyDescent="0.25">
      <c r="A12">
        <v>10</v>
      </c>
      <c r="B12" s="22" t="s">
        <v>29</v>
      </c>
      <c r="C12" t="s">
        <v>41</v>
      </c>
      <c r="D12" t="s">
        <v>45</v>
      </c>
      <c r="E12">
        <v>56980000</v>
      </c>
    </row>
    <row r="13" spans="1:5" ht="15.75" x14ac:dyDescent="0.25">
      <c r="A13">
        <v>11</v>
      </c>
      <c r="B13" s="22" t="s">
        <v>22</v>
      </c>
      <c r="C13" t="s">
        <v>41</v>
      </c>
      <c r="D13" t="s">
        <v>45</v>
      </c>
      <c r="E13">
        <v>56980000</v>
      </c>
    </row>
    <row r="14" spans="1:5" ht="15.75" x14ac:dyDescent="0.25">
      <c r="A14">
        <v>12</v>
      </c>
      <c r="B14" s="22" t="s">
        <v>27</v>
      </c>
      <c r="C14" t="s">
        <v>41</v>
      </c>
      <c r="D14" t="s">
        <v>46</v>
      </c>
      <c r="E14">
        <v>62160000</v>
      </c>
    </row>
    <row r="15" spans="1:5" ht="15.75" x14ac:dyDescent="0.25">
      <c r="B15" s="22" t="s">
        <v>18</v>
      </c>
      <c r="E15">
        <v>0</v>
      </c>
    </row>
    <row r="16" spans="1:5" ht="15.75" x14ac:dyDescent="0.25">
      <c r="B16" s="22" t="s">
        <v>19</v>
      </c>
      <c r="E16">
        <v>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7FD4-AEEE-4FC8-9A6B-209DBFB5F7DF}">
  <dimension ref="A1:B4"/>
  <sheetViews>
    <sheetView zoomScale="175" zoomScaleNormal="175" workbookViewId="0"/>
  </sheetViews>
  <sheetFormatPr defaultRowHeight="15" x14ac:dyDescent="0.25"/>
  <cols>
    <col min="1" max="1" width="101.28515625" customWidth="1"/>
    <col min="2" max="2" width="10" customWidth="1"/>
  </cols>
  <sheetData>
    <row r="1" spans="1:2" ht="32.25" customHeight="1" thickBot="1" x14ac:dyDescent="0.3">
      <c r="A1" s="18" t="s">
        <v>33</v>
      </c>
      <c r="B1" s="19">
        <v>1</v>
      </c>
    </row>
    <row r="2" spans="1:2" ht="32.25" customHeight="1" thickBot="1" x14ac:dyDescent="0.3">
      <c r="A2" s="20" t="s">
        <v>32</v>
      </c>
      <c r="B2" s="19">
        <v>0.9</v>
      </c>
    </row>
    <row r="3" spans="1:2" ht="32.25" customHeight="1" thickBot="1" x14ac:dyDescent="0.3">
      <c r="A3" s="20" t="s">
        <v>31</v>
      </c>
      <c r="B3" s="19">
        <v>0.8</v>
      </c>
    </row>
    <row r="4" spans="1:2" ht="32.25" customHeight="1" thickBot="1" x14ac:dyDescent="0.3">
      <c r="A4" s="20" t="s">
        <v>34</v>
      </c>
      <c r="B4" s="19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732E-B035-4C28-A43F-B1D5C0DA3085}">
  <dimension ref="A1"/>
  <sheetViews>
    <sheetView tabSelected="1" workbookViewId="0">
      <selection activeCell="D25" sqref="D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хисоблаш</vt:lpstr>
      <vt:lpstr>Т</vt:lpstr>
      <vt:lpstr>B</vt:lpstr>
      <vt:lpstr>М</vt:lpstr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Turizm Direksiyasi</dc:creator>
  <cp:lastModifiedBy>Turizm Direksiyasi</cp:lastModifiedBy>
  <cp:lastPrinted>2026-08-27T14:29:09Z</cp:lastPrinted>
  <dcterms:created xsi:type="dcterms:W3CDTF">2026-08-27T11:36:28Z</dcterms:created>
  <dcterms:modified xsi:type="dcterms:W3CDTF">2026-09-02T13:21:59Z</dcterms:modified>
</cp:coreProperties>
</file>